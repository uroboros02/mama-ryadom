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опущения" sheetId="2" state="visible" r:id="rId2"/>
    <sheet name="Воронка" sheetId="3" state="visible" r:id="rId3"/>
    <sheet name="Читай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MMM YY"/>
  </numFmts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/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1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0" fontId="0" fillId="0" borderId="1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2" borderId="1" pivotButton="0" quotePrefix="0" xfId="0"/>
    <xf numFmtId="9" fontId="1" fillId="0" borderId="1" pivotButton="0" quotePrefix="0" xfId="0"/>
    <xf numFmtId="9" fontId="0" fillId="2" borderId="1" pivotButton="0" quotePrefix="0" xfId="0"/>
    <xf numFmtId="3" fontId="1" fillId="4" borderId="1" pivotButton="0" quotePrefix="0" xfId="0"/>
    <xf numFmtId="3" fontId="0" fillId="4" borderId="1" pivotButton="0" quotePrefix="0" xfId="0"/>
    <xf numFmtId="9" fontId="1" fillId="4" borderId="1" pivotButton="0" quotePrefix="0" xfId="0"/>
    <xf numFmtId="9" fontId="0" fillId="4" borderId="1" pivotButton="0" quotePrefix="0" xfId="0"/>
    <xf numFmtId="2" fontId="1" fillId="0" borderId="1" pivotButton="0" quotePrefix="0" xfId="0"/>
    <xf numFmtId="2" fontId="0" fillId="2" borderId="1" pivotButton="0" quotePrefix="0" xfId="0"/>
    <xf numFmtId="164" fontId="1" fillId="0" borderId="1" pivotButton="0" quotePrefix="0" xfId="0"/>
    <xf numFmtId="164" fontId="0" fillId="2" borderId="1" pivotButton="0" quotePrefix="0" xfId="0"/>
    <xf numFmtId="164" fontId="1" fillId="0" borderId="0" pivotButton="0" quotePrefix="0" xfId="0"/>
    <xf numFmtId="3" fontId="1" fillId="0" borderId="0" pivotButton="0" quotePrefix="0" xfId="0"/>
    <xf numFmtId="0" fontId="0" fillId="2" borderId="1" pivotButton="0" quotePrefix="0" xfId="0"/>
    <xf numFmtId="166" fontId="1" fillId="3" borderId="1" pivotButton="0" quotePrefix="0" xfId="0"/>
    <xf numFmtId="0" fontId="4" fillId="0" borderId="0" pivotButton="0" quotePrefix="0" xfId="0"/>
    <xf numFmtId="164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1"/>
  <sheetViews>
    <sheetView workbookViewId="0">
      <selection activeCell="A1" sqref="A1"/>
    </sheetView>
  </sheetViews>
  <sheetFormatPr baseColWidth="8" defaultRowHeight="15"/>
  <cols>
    <col width="52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2">
      <c r="B2" s="1" t="inlineStr">
        <is>
          <t>СВОДКА — главное одним экраном</t>
        </is>
      </c>
    </row>
    <row r="4">
      <c r="B4" s="2" t="inlineStr">
        <is>
          <t>ТЕКУЩИЙ СЦЕНАРИЙ (живое: пересчитывается при правке «Допущений»)</t>
        </is>
      </c>
    </row>
    <row r="5">
      <c r="B5" t="inlineStr">
        <is>
          <t>Выбран сценарий (1=Пессимист, 2=База, 3=Целевой)</t>
        </is>
      </c>
      <c r="C5" s="3">
        <f>Допущения!$D$2</f>
        <v/>
      </c>
    </row>
    <row r="6">
      <c r="B6" t="inlineStr">
        <is>
          <t>Клиентов к декабрю 2027</t>
        </is>
      </c>
      <c r="C6" s="4">
        <f>Воронка!S13</f>
        <v/>
      </c>
    </row>
    <row r="7">
      <c r="B7" t="inlineStr">
        <is>
          <t>Выручка за 2027</t>
        </is>
      </c>
      <c r="C7" s="4">
        <f>Воронка!U18</f>
        <v/>
      </c>
    </row>
    <row r="8">
      <c r="B8" t="inlineStr">
        <is>
          <t>Операционный результат за 2027</t>
        </is>
      </c>
      <c r="C8" s="4">
        <f>Воронка!U25</f>
        <v/>
      </c>
    </row>
    <row r="9">
      <c r="B9" t="inlineStr">
        <is>
          <t>Месяцев в минусе (из 17)</t>
        </is>
      </c>
      <c r="C9" s="3">
        <f>COUNTIF(Воронка!C25:S25,"&lt;0")</f>
        <v/>
      </c>
    </row>
    <row r="10">
      <c r="B10" t="inlineStr">
        <is>
          <t>Дно кассы (самая глубокая яма)</t>
        </is>
      </c>
      <c r="C10" s="4">
        <f>MIN(Воронка!C28:S28)</f>
        <v/>
      </c>
    </row>
    <row r="11">
      <c r="B11" t="inlineStr">
        <is>
          <t>НУЖНО ДЕНЕГ сверх плана 3 млн</t>
        </is>
      </c>
      <c r="C11" s="4">
        <f>MAX(0,-MIN(Воронка!C28:S28))</f>
        <v/>
      </c>
    </row>
    <row r="12">
      <c r="B12" t="inlineStr">
        <is>
          <t>Касса на конец 2027</t>
        </is>
      </c>
      <c r="C12" s="4">
        <f>Воронка!S28</f>
        <v/>
      </c>
    </row>
    <row r="14">
      <c r="B14" s="2" t="inlineStr">
        <is>
          <t>ТРИ СЦЕНАРИЯ РЯДОМ (снимок при допущениях от 03.07.2026 — после правок сверяйся с живым блоком выше)</t>
        </is>
      </c>
    </row>
    <row r="15">
      <c r="B15" s="5" t="inlineStr">
        <is>
          <t>Сценарий</t>
        </is>
      </c>
      <c r="C15" s="5" t="inlineStr">
        <is>
          <t>Клиентов дек-27</t>
        </is>
      </c>
      <c r="D15" s="5" t="inlineStr">
        <is>
          <t>Результат/мес в конце 27</t>
        </is>
      </c>
      <c r="E15" s="5" t="inlineStr">
        <is>
          <t>Первый плюсовой месяц</t>
        </is>
      </c>
      <c r="F15" s="5" t="inlineStr">
        <is>
          <t>Нужно сверх 3 млн</t>
        </is>
      </c>
    </row>
    <row r="16">
      <c r="B16" s="6" t="inlineStr">
        <is>
          <t>Пессимист</t>
        </is>
      </c>
      <c r="C16" s="6" t="inlineStr">
        <is>
          <t>27</t>
        </is>
      </c>
      <c r="D16" s="6" t="inlineStr">
        <is>
          <t>−751 тыс.</t>
        </is>
      </c>
      <c r="E16" s="6" t="inlineStr">
        <is>
          <t>никогда</t>
        </is>
      </c>
      <c r="F16" s="6" t="inlineStr">
        <is>
          <t>13,6 млн</t>
        </is>
      </c>
    </row>
    <row r="17">
      <c r="B17" s="6" t="inlineStr">
        <is>
          <t>База (историч. цифры)</t>
        </is>
      </c>
      <c r="C17" s="6" t="inlineStr">
        <is>
          <t>75</t>
        </is>
      </c>
      <c r="D17" s="6" t="inlineStr">
        <is>
          <t>−474 тыс.</t>
        </is>
      </c>
      <c r="E17" s="6" t="inlineStr">
        <is>
          <t>никогда</t>
        </is>
      </c>
      <c r="F17" s="6" t="inlineStr">
        <is>
          <t>10,5 млн</t>
        </is>
      </c>
    </row>
    <row r="18">
      <c r="B18" s="6" t="inlineStr">
        <is>
          <t>Целевой (все рычаги)</t>
        </is>
      </c>
      <c r="C18" s="6" t="inlineStr">
        <is>
          <t>241</t>
        </is>
      </c>
      <c r="D18" s="6" t="inlineStr">
        <is>
          <t>+359 тыс.</t>
        </is>
      </c>
      <c r="E18" s="6" t="inlineStr">
        <is>
          <t>март 2027</t>
        </is>
      </c>
      <c r="F18" s="6" t="inlineStr">
        <is>
          <t>3,6 млн</t>
        </is>
      </c>
    </row>
    <row r="20">
      <c r="B20" s="2" t="inlineStr">
        <is>
          <t>РЫЧАГИ: «База» + один рычаг за раз (что двигает результат)</t>
        </is>
      </c>
    </row>
    <row r="21">
      <c r="B21" s="5" t="inlineStr">
        <is>
          <t>Вариант</t>
        </is>
      </c>
      <c r="C21" s="5" t="inlineStr">
        <is>
          <t>Клиентов дек-27</t>
        </is>
      </c>
      <c r="D21" s="5" t="inlineStr">
        <is>
          <t>Результат/мес</t>
        </is>
      </c>
      <c r="E21" s="5" t="inlineStr">
        <is>
          <t>Нужно сверх 3 млн</t>
        </is>
      </c>
    </row>
    <row r="22">
      <c r="B22" s="6" t="inlineStr">
        <is>
          <t>База как есть</t>
        </is>
      </c>
      <c r="C22" s="6" t="inlineStr">
        <is>
          <t>75</t>
        </is>
      </c>
      <c r="D22" s="6" t="inlineStr">
        <is>
          <t>−474 тыс.</t>
        </is>
      </c>
      <c r="E22" s="6" t="inlineStr">
        <is>
          <t>10,5 млн</t>
        </is>
      </c>
    </row>
    <row r="23">
      <c r="B23" s="6" t="inlineStr">
        <is>
          <t>+ продления как у когорт-2026 (3 покупки)</t>
        </is>
      </c>
      <c r="C23" s="6" t="inlineStr">
        <is>
          <t>106</t>
        </is>
      </c>
      <c r="D23" s="6" t="inlineStr">
        <is>
          <t>−317 тыс.</t>
        </is>
      </c>
      <c r="E23" s="6" t="inlineStr">
        <is>
          <t>8,9 млн</t>
        </is>
      </c>
    </row>
    <row r="24">
      <c r="B24" s="6" t="inlineStr">
        <is>
          <t>+ органика 50 лидов/мес (потолок 100)</t>
        </is>
      </c>
      <c r="C24" s="6" t="inlineStr">
        <is>
          <t>103</t>
        </is>
      </c>
      <c r="D24" s="6" t="inlineStr">
        <is>
          <t>−297 тыс.</t>
        </is>
      </c>
      <c r="E24" s="6" t="inlineStr">
        <is>
          <t>7,9 млн</t>
        </is>
      </c>
    </row>
    <row r="25">
      <c r="B25" s="6" t="inlineStr">
        <is>
          <t>+ конверсия платного 15%</t>
        </is>
      </c>
      <c r="C25" s="6" t="inlineStr">
        <is>
          <t>80</t>
        </is>
      </c>
      <c r="D25" s="6" t="inlineStr">
        <is>
          <t>−445 тыс.</t>
        </is>
      </c>
      <c r="E25" s="6" t="inlineStr">
        <is>
          <t>10,1 млн</t>
        </is>
      </c>
    </row>
    <row r="26">
      <c r="B26" s="6" t="inlineStr">
        <is>
          <t>+ таргет 200 лидов/мес</t>
        </is>
      </c>
      <c r="C26" s="6" t="inlineStr">
        <is>
          <t>110</t>
        </is>
      </c>
      <c r="D26" s="6" t="inlineStr">
        <is>
          <t>−322 тыс.</t>
        </is>
      </c>
      <c r="E26" s="6" t="inlineStr">
        <is>
          <t>8,4 млн</t>
        </is>
      </c>
    </row>
    <row r="27">
      <c r="B27" s="6" t="inlineStr">
        <is>
          <t>ПРОДЛЕНИЯ + ОРГАНИКА (таргет не трогаем)</t>
        </is>
      </c>
      <c r="C27" s="6" t="inlineStr">
        <is>
          <t>150</t>
        </is>
      </c>
      <c r="D27" s="6" t="inlineStr">
        <is>
          <t>−77 тыс.</t>
        </is>
      </c>
      <c r="E27" s="6" t="inlineStr">
        <is>
          <t>5,6 млн</t>
        </is>
      </c>
    </row>
    <row r="28">
      <c r="B28" s="6" t="inlineStr">
        <is>
          <t>Все рычаги вместе</t>
        </is>
      </c>
      <c r="C28" s="6" t="inlineStr">
        <is>
          <t>218</t>
        </is>
      </c>
      <c r="D28" s="6" t="inlineStr">
        <is>
          <t>+211 тыс.</t>
        </is>
      </c>
      <c r="E28" s="6" t="inlineStr">
        <is>
          <t>2,9 млн</t>
        </is>
      </c>
    </row>
    <row r="30">
      <c r="B30" s="2" t="inlineStr">
        <is>
          <t>ЧТО УТОЧНИТЬ, ЧТОБЫ ЦИФРЫ СТАЛИ ТВЁРДЫМИ (сейчас — заглушки, жёлтое на «Допущениях»)</t>
        </is>
      </c>
    </row>
    <row r="31">
      <c r="B31" s="7" t="inlineStr">
        <is>
          <t>ПОДТВЕРЖДЕНО (июль-2026): открытие 1–5 августа · достройка ≈1,7 млн · тренеры 500 ₽/группа + 100 ₽/ребёнок</t>
        </is>
      </c>
    </row>
    <row r="32">
      <c r="B32" s="7" t="inlineStr">
        <is>
          <t>1. Продления 82–94% у когорт-2026 — правда или формат оплаты (администратор) — рычаг №1</t>
        </is>
      </c>
    </row>
    <row r="33">
      <c r="B33" s="7" t="inlineStr">
        <is>
          <t>2. Органика: сколько лидов/мес бесплатно приходит сейчас — рычаг №2</t>
        </is>
      </c>
    </row>
    <row r="34">
      <c r="B34" s="7" t="inlineStr">
        <is>
          <t>3. Таргетолог: максимум лидов/мес и на каком бюджете</t>
        </is>
      </c>
    </row>
    <row r="35">
      <c r="B35" s="7" t="inlineStr">
        <is>
          <t>4. Старт с нуля или с переносом части базы действующего центра</t>
        </is>
      </c>
    </row>
    <row r="36">
      <c r="B36" s="7" t="inlineStr">
        <is>
          <t>5. Какая CRM куплена за 103 тыс/год</t>
        </is>
      </c>
    </row>
    <row r="37">
      <c r="B37" s="7" t="inlineStr">
        <is>
          <t>6. Финансирование: капекс уже больше плана — сколько денег реально доступно и когда?</t>
        </is>
      </c>
    </row>
    <row r="39">
      <c r="B39" s="8" t="inlineStr">
        <is>
          <t>ВЫВОДЫ: капекс 3,25 млн (потрачено 1,55 + достройка 1,7) УЖЕ больше плана 3,0 — касса в минусе ещё до открытия.</t>
        </is>
      </c>
    </row>
    <row r="40">
      <c r="B40" s="8" t="inlineStr">
        <is>
          <t>ТБ ≈ 185–190 клиентов. «База» бездонна (−11,2 млн к дек-2027). Путь в плюс = продления + сарафан + чек; целевой: плюс с марта 2027.</t>
        </is>
      </c>
    </row>
    <row r="41">
      <c r="B41" s="8" t="inlineStr">
        <is>
          <t>Разговор о деньгах — не «до октября», а сейчас: без ещё ~3,5 млн подтверждённых даже лучший план умирает в сентябре.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3"/>
  <sheetViews>
    <sheetView workbookViewId="0">
      <selection activeCell="A1" sqref="A1"/>
    </sheetView>
  </sheetViews>
  <sheetFormatPr baseColWidth="8" defaultRowHeight="15"/>
  <cols>
    <col width="4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68" customWidth="1" min="8" max="8"/>
  </cols>
  <sheetData>
    <row r="2">
      <c r="B2" s="8" t="inlineStr">
        <is>
          <t>Активный сценарий (1=Пессимист, 2=База, 3=Целевой):</t>
        </is>
      </c>
      <c r="D2" s="9" t="n">
        <v>2</v>
      </c>
      <c r="H2" t="inlineStr">
        <is>
          <t>Меняешь одну цифру — пересчитывается вся модель. 3 = «к чему стремиться».</t>
        </is>
      </c>
    </row>
    <row r="4">
      <c r="B4" s="5" t="inlineStr">
        <is>
          <t>Параметр</t>
        </is>
      </c>
      <c r="C4" s="5" t="inlineStr">
        <is>
          <t>ед.</t>
        </is>
      </c>
      <c r="D4" s="5" t="inlineStr">
        <is>
          <t>АКТИВНОЕ</t>
        </is>
      </c>
      <c r="E4" s="5" t="inlineStr">
        <is>
          <t>Пессимист</t>
        </is>
      </c>
      <c r="F4" s="5" t="inlineStr">
        <is>
          <t>База</t>
        </is>
      </c>
      <c r="G4" s="5" t="inlineStr">
        <is>
          <t>Целевой</t>
        </is>
      </c>
      <c r="H4" s="5" t="inlineStr">
        <is>
          <t>Комментарий / источник</t>
        </is>
      </c>
    </row>
    <row r="5">
      <c r="B5" s="2" t="inlineStr">
        <is>
          <t>— ВОРОНКА —</t>
        </is>
      </c>
    </row>
    <row r="6">
      <c r="B6" t="inlineStr">
        <is>
          <t>CPL — цена сырого лида (таргет)</t>
        </is>
      </c>
      <c r="C6" t="inlineStr">
        <is>
          <t>₽</t>
        </is>
      </c>
      <c r="D6" s="4">
        <f>INDEX(E6:G6,$D$2)</f>
        <v/>
      </c>
      <c r="E6" s="10" t="n">
        <v>1000</v>
      </c>
      <c r="F6" s="10" t="n">
        <v>800</v>
      </c>
      <c r="G6" s="10" t="n">
        <v>1200</v>
      </c>
      <c r="H6" t="inlineStr">
        <is>
          <t>ФАКТ из кабинета ВК (окт-25→май-26, 403 заявки): средний 780 ₽, коридор 700–1100. Целевой дороже: +30% CPL на каждое удвоение объёма.</t>
        </is>
      </c>
    </row>
    <row r="7">
      <c r="B7" t="inlineStr">
        <is>
          <t>Конверсия платного лида в покупку</t>
        </is>
      </c>
      <c r="C7" t="inlineStr">
        <is>
          <t>%</t>
        </is>
      </c>
      <c r="D7" s="11">
        <f>INDEX(E7:G7,$D$2)</f>
        <v/>
      </c>
      <c r="E7" s="12" t="n">
        <v>0.1</v>
      </c>
      <c r="F7" s="12" t="n">
        <v>0.13</v>
      </c>
      <c r="G7" s="12" t="n">
        <v>0.15</v>
      </c>
      <c r="H7" t="inlineStr">
        <is>
          <t>Факт CRM: VK 13% (n=1039). &gt;15% на чисто платном не бывает.</t>
        </is>
      </c>
    </row>
    <row r="8">
      <c r="B8" t="inlineStr">
        <is>
          <t>Конверсия органического лида в покупку</t>
        </is>
      </c>
      <c r="C8" t="inlineStr">
        <is>
          <t>%</t>
        </is>
      </c>
      <c r="D8" s="11">
        <f>INDEX(E8:G8,$D$2)</f>
        <v/>
      </c>
      <c r="E8" s="12" t="n">
        <v>0.2</v>
      </c>
      <c r="F8" s="12" t="n">
        <v>0.25</v>
      </c>
      <c r="G8" s="12" t="n">
        <v>0.25</v>
      </c>
      <c r="H8" t="inlineStr">
        <is>
          <t>Факт CRM: сайт/органика 25–27% (n=400).</t>
        </is>
      </c>
    </row>
    <row r="9">
      <c r="B9" t="inlineStr">
        <is>
          <t>Потолок платных лидов</t>
        </is>
      </c>
      <c r="C9" t="inlineStr">
        <is>
          <t>шт/мес</t>
        </is>
      </c>
      <c r="D9" s="4">
        <f>INDEX(E9:G9,$D$2)</f>
        <v/>
      </c>
      <c r="E9" s="10" t="n">
        <v>70</v>
      </c>
      <c r="F9" s="10" t="n">
        <v>100</v>
      </c>
      <c r="G9" s="10" t="n">
        <v>200</v>
      </c>
      <c r="H9" t="inlineStr">
        <is>
          <t>ФАКТ: 30–50/мес на бюджете 30–45т; пик 127 (янв, бюджет 73т, без роста CPL). Выше 130 — экстраполяция = ГЛАВНЫЙ РИСК модели.</t>
        </is>
      </c>
    </row>
    <row r="10">
      <c r="B10" s="7" t="inlineStr">
        <is>
          <t>Органические лиды на старте (сарафан/карты/сайт)</t>
        </is>
      </c>
      <c r="C10" s="7" t="inlineStr">
        <is>
          <t>шт/мес</t>
        </is>
      </c>
      <c r="D10" s="13">
        <f>INDEX(E10:G10,$D$2)</f>
        <v/>
      </c>
      <c r="E10" s="14" t="n">
        <v>10</v>
      </c>
      <c r="F10" s="14" t="n">
        <v>20</v>
      </c>
      <c r="G10" s="14" t="n">
        <v>30</v>
      </c>
      <c r="H10" s="7" t="inlineStr">
        <is>
          <t>ЗАГЛУШКА — ждём факт действующего центра.</t>
        </is>
      </c>
    </row>
    <row r="11">
      <c r="B11" s="7" t="inlineStr">
        <is>
          <t>Рост органики</t>
        </is>
      </c>
      <c r="C11" s="7" t="inlineStr">
        <is>
          <t>%/мес</t>
        </is>
      </c>
      <c r="D11" s="15">
        <f>INDEX(E11:G11,$D$2)</f>
        <v/>
      </c>
      <c r="E11" s="16" t="n">
        <v>0.05</v>
      </c>
      <c r="F11" s="16" t="n">
        <v>0.08</v>
      </c>
      <c r="G11" s="16" t="n">
        <v>0.12</v>
      </c>
      <c r="H11" s="7" t="inlineStr">
        <is>
          <t>ЗАГЛУШКА — реф.программа «привёл друга» (бот) должна разгонять.</t>
        </is>
      </c>
    </row>
    <row r="12">
      <c r="B12" t="inlineStr">
        <is>
          <t>Доля лидов, дошедших до пробного</t>
        </is>
      </c>
      <c r="C12" t="inlineStr">
        <is>
          <t>%</t>
        </is>
      </c>
      <c r="D12" s="11">
        <f>INDEX(E12:G12,$D$2)</f>
        <v/>
      </c>
      <c r="E12" s="12" t="n">
        <v>0.35</v>
      </c>
      <c r="F12" s="12" t="n">
        <v>0.5</v>
      </c>
      <c r="G12" s="12" t="n">
        <v>0.55</v>
      </c>
      <c r="H12" t="inlineStr">
        <is>
          <t>Ваша оценка: ~50%. Для выручки пробных (900 ₽).</t>
        </is>
      </c>
    </row>
    <row r="13">
      <c r="B13" t="inlineStr">
        <is>
          <t>Коэфф. «зачислен → оплатил»</t>
        </is>
      </c>
      <c r="C13" t="inlineStr"/>
      <c r="D13" s="17">
        <f>INDEX(E13:G13,$D$2)</f>
        <v/>
      </c>
      <c r="E13" s="18" t="n">
        <v>0.93</v>
      </c>
      <c r="F13" s="18" t="n">
        <v>0.93</v>
      </c>
      <c r="G13" s="18" t="n">
        <v>0.93</v>
      </c>
      <c r="H13" t="inlineStr">
        <is>
          <t>Факт CRM: 7% зачисленных не платят.</t>
        </is>
      </c>
    </row>
    <row r="14">
      <c r="B14" s="2" t="inlineStr">
        <is>
          <t>— ПРОДУКТ И ДЕНЬГИ —</t>
        </is>
      </c>
    </row>
    <row r="15">
      <c r="B15" s="7" t="inlineStr">
        <is>
          <t>Средний платёж (один абонемент)</t>
        </is>
      </c>
      <c r="C15" s="7" t="inlineStr">
        <is>
          <t>₽</t>
        </is>
      </c>
      <c r="D15" s="13">
        <f>INDEX(E15:G15,$D$2)</f>
        <v/>
      </c>
      <c r="E15" s="14" t="n">
        <v>9000</v>
      </c>
      <c r="F15" s="14" t="n">
        <v>9800</v>
      </c>
      <c r="G15" s="14" t="n">
        <v>10500</v>
      </c>
      <c r="H15" s="7" t="inlineStr">
        <is>
          <t>По новому прайсу, микс 70% одно напр. / 20% единый / 10% индив.</t>
        </is>
      </c>
    </row>
    <row r="16">
      <c r="B16" t="inlineStr">
        <is>
          <t>Средняя длительность абонемента</t>
        </is>
      </c>
      <c r="C16" t="inlineStr">
        <is>
          <t>мес</t>
        </is>
      </c>
      <c r="D16" s="19">
        <f>INDEX(E16:G16,$D$2)</f>
        <v/>
      </c>
      <c r="E16" s="20" t="n">
        <v>1.7</v>
      </c>
      <c r="F16" s="20" t="n">
        <v>1.7</v>
      </c>
      <c r="G16" s="20" t="n">
        <v>1.7</v>
      </c>
      <c r="H16" t="inlineStr">
        <is>
          <t>Микс 1-мес и 2-мес абонементов.</t>
        </is>
      </c>
    </row>
    <row r="17">
      <c r="B17" t="inlineStr">
        <is>
          <t>Покупок на клиента за жизнь</t>
        </is>
      </c>
      <c r="C17" t="inlineStr">
        <is>
          <t>шт</t>
        </is>
      </c>
      <c r="D17" s="19">
        <f>INDEX(E17:G17,$D$2)</f>
        <v/>
      </c>
      <c r="E17" s="20" t="n">
        <v>1.8</v>
      </c>
      <c r="F17" s="20" t="n">
        <v>2</v>
      </c>
      <c r="G17" s="20" t="n">
        <v>3</v>
      </c>
      <c r="H17" t="inlineStr">
        <is>
          <t>Факт CRM: ~2 (продление 40–49% до 2-й, ~20% до 3-й). Целевой 3 = когорты 2026 (82–94%) — проверить у администратора!</t>
        </is>
      </c>
    </row>
    <row r="18">
      <c r="B18" t="inlineStr">
        <is>
          <t>Цена пробного</t>
        </is>
      </c>
      <c r="C18" t="inlineStr">
        <is>
          <t>₽</t>
        </is>
      </c>
      <c r="D18" s="4">
        <f>INDEX(E18:G18,$D$2)</f>
        <v/>
      </c>
      <c r="E18" s="10" t="n">
        <v>900</v>
      </c>
      <c r="F18" s="10" t="n">
        <v>900</v>
      </c>
      <c r="G18" s="10" t="n">
        <v>900</v>
      </c>
      <c r="H18" t="inlineStr">
        <is>
          <t>Некупившие платят 900; у купивших зачтено в абонемент.</t>
        </is>
      </c>
    </row>
    <row r="19">
      <c r="B19" t="inlineStr">
        <is>
          <t>Вместимость: действующих абонементов макс</t>
        </is>
      </c>
      <c r="C19" t="inlineStr">
        <is>
          <t>шт</t>
        </is>
      </c>
      <c r="D19" s="4">
        <f>INDEX(E19:G19,$D$2)</f>
        <v/>
      </c>
      <c r="E19" s="10" t="n">
        <v>250</v>
      </c>
      <c r="F19" s="10" t="n">
        <v>250</v>
      </c>
      <c r="G19" s="10" t="n">
        <v>250</v>
      </c>
      <c r="H19" t="inlineStr">
        <is>
          <t>Слово собственницы: потолок загрузки 250.</t>
        </is>
      </c>
    </row>
    <row r="20">
      <c r="B20" s="7" t="inlineStr">
        <is>
          <t>Стартовая база клиентов (перенос из действующего центра)</t>
        </is>
      </c>
      <c r="C20" s="7" t="inlineStr">
        <is>
          <t>чел</t>
        </is>
      </c>
      <c r="D20" s="13">
        <f>INDEX(E20:G20,$D$2)</f>
        <v/>
      </c>
      <c r="E20" s="14" t="n">
        <v>0</v>
      </c>
      <c r="F20" s="14" t="n">
        <v>0</v>
      </c>
      <c r="G20" s="14" t="n">
        <v>0</v>
      </c>
      <c r="H20" s="7" t="inlineStr">
        <is>
          <t>ОТКРЫТЫЙ ВОПРОС: старт с нуля или с переносом?</t>
        </is>
      </c>
    </row>
    <row r="21">
      <c r="B21" s="2" t="inlineStr">
        <is>
          <t>— РАСХОДЫ (разбивка ФОТ — слова собственницы, июль-2026) —</t>
        </is>
      </c>
    </row>
    <row r="22">
      <c r="B22" t="inlineStr">
        <is>
          <t>Прочие постоянные расходы</t>
        </is>
      </c>
      <c r="C22" t="inlineStr">
        <is>
          <t>₽/мес</t>
        </is>
      </c>
      <c r="D22" s="4">
        <f>INDEX(E22:G22,$D$2)</f>
        <v/>
      </c>
      <c r="E22" s="10" t="n">
        <v>435000</v>
      </c>
      <c r="F22" s="10" t="n">
        <v>435000</v>
      </c>
      <c r="G22" s="10" t="n">
        <v>435000</v>
      </c>
      <c r="H22" t="inlineStr">
        <is>
          <t>Из исходника: аренда 360 + РКО 10 + 1С 15 + канц 10 + мотив 30 + связь 10.</t>
        </is>
      </c>
    </row>
    <row r="23">
      <c r="B23" t="inlineStr">
        <is>
          <t>ФОТ фикс-ядро (маркетинг 130 + админы 120 + руковод. 100)</t>
        </is>
      </c>
      <c r="C23" t="inlineStr">
        <is>
          <t>₽/мес</t>
        </is>
      </c>
      <c r="D23" s="4">
        <f>INDEX(E23:G23,$D$2)</f>
        <v/>
      </c>
      <c r="E23" s="10" t="n">
        <v>350000</v>
      </c>
      <c r="F23" s="10" t="n">
        <v>350000</v>
      </c>
      <c r="G23" s="10" t="n">
        <v>350000</v>
      </c>
      <c r="H23" t="inlineStr">
        <is>
          <t>Платится независимо от числа клиентов — это якорь точки безубыточности.</t>
        </is>
      </c>
    </row>
    <row r="24">
      <c r="B24" t="inlineStr">
        <is>
          <t>Ставка тренера за группу (даже пустую)</t>
        </is>
      </c>
      <c r="C24" t="inlineStr">
        <is>
          <t>₽</t>
        </is>
      </c>
      <c r="D24" s="4">
        <f>INDEX(E24:G24,$D$2)</f>
        <v/>
      </c>
      <c r="E24" s="10" t="n">
        <v>500</v>
      </c>
      <c r="F24" s="10" t="n">
        <v>500</v>
      </c>
      <c r="G24" s="10" t="n">
        <v>500</v>
      </c>
      <c r="H24" t="inlineStr">
        <is>
          <t>ФАКТ (июль-2026): 500 ₽ за занятие группы, платится даже если никто не пришёл.</t>
        </is>
      </c>
    </row>
    <row r="25">
      <c r="B25" t="inlineStr">
        <is>
          <t>Ставка тренера за ребёнка</t>
        </is>
      </c>
      <c r="C25" t="inlineStr">
        <is>
          <t>₽</t>
        </is>
      </c>
      <c r="D25" s="4">
        <f>INDEX(E25:G25,$D$2)</f>
        <v/>
      </c>
      <c r="E25" s="10" t="n">
        <v>100</v>
      </c>
      <c r="F25" s="10" t="n">
        <v>100</v>
      </c>
      <c r="G25" s="10" t="n">
        <v>100</v>
      </c>
      <c r="H25" t="inlineStr">
        <is>
          <t>ФАКТ: +100 ₽ за каждого пришедшего ребёнка (посещений ≈ 4,33/мес на клиента).</t>
        </is>
      </c>
    </row>
    <row r="26">
      <c r="B26" s="7" t="inlineStr">
        <is>
          <t>Мин. сетка групп в неделю (стартовое расписание)</t>
        </is>
      </c>
      <c r="C26" s="7" t="inlineStr">
        <is>
          <t>шт</t>
        </is>
      </c>
      <c r="D26" s="13">
        <f>INDEX(E26:G26,$D$2)</f>
        <v/>
      </c>
      <c r="E26" s="14" t="n">
        <v>24</v>
      </c>
      <c r="F26" s="14" t="n">
        <v>30</v>
      </c>
      <c r="G26" s="14" t="n">
        <v>30</v>
      </c>
      <c r="H26" s="7" t="inlineStr">
        <is>
          <t>Пустые группы тоже стоят 500 ₽ → floor тренерского ФОТ ≈ 52–65 тыс/мес.</t>
        </is>
      </c>
    </row>
    <row r="27">
      <c r="B27" t="inlineStr">
        <is>
          <t>Средняя наполняемость группы</t>
        </is>
      </c>
      <c r="C27" t="inlineStr">
        <is>
          <t>чел</t>
        </is>
      </c>
      <c r="D27" s="19">
        <f>INDEX(E27:G27,$D$2)</f>
        <v/>
      </c>
      <c r="E27" s="20" t="n">
        <v>3.5</v>
      </c>
      <c r="F27" s="20" t="n">
        <v>4</v>
      </c>
      <c r="G27" s="20" t="n">
        <v>4.5</v>
      </c>
      <c r="H27" t="inlineStr">
        <is>
          <t>Макс 6 пар; при полном зале тренеры ≈ 244 тыс/мес — бюджет собственницы (250) сходится.</t>
        </is>
      </c>
    </row>
    <row r="28">
      <c r="B28" s="2" t="inlineStr">
        <is>
          <t>— ДЕНЬГИ СОБСТВЕННИЦЫ —</t>
        </is>
      </c>
    </row>
    <row r="29">
      <c r="B29" t="inlineStr">
        <is>
          <t>План финансирования всего</t>
        </is>
      </c>
      <c r="C29" t="inlineStr">
        <is>
          <t>₽</t>
        </is>
      </c>
      <c r="D29" s="4">
        <f>INDEX(E29:G29,$D$2)</f>
        <v/>
      </c>
      <c r="E29" s="10" t="n">
        <v>3000000</v>
      </c>
      <c r="F29" s="10" t="n">
        <v>3000000</v>
      </c>
      <c r="G29" s="10" t="n">
        <v>3000000</v>
      </c>
      <c r="H29" t="inlineStr">
        <is>
          <t>Слова собственницы: «рассчитывала на 3 млн» (ремонт + оборудование + первый маркетинг).</t>
        </is>
      </c>
    </row>
    <row r="30">
      <c r="B30" t="inlineStr">
        <is>
          <t>Уже потрачено до открытия (факт на 03.07.2026)</t>
        </is>
      </c>
      <c r="C30" t="inlineStr">
        <is>
          <t>₽</t>
        </is>
      </c>
      <c r="D30" s="4">
        <f>INDEX(E30:G30,$D$2)</f>
        <v/>
      </c>
      <c r="E30" s="10" t="n">
        <v>1551733</v>
      </c>
      <c r="F30" s="10" t="n">
        <v>1551733</v>
      </c>
      <c r="G30" s="10" t="n">
        <v>1551733</v>
      </c>
      <c r="H30" t="inlineStr">
        <is>
          <t>По списку оплат: ремонт 719,3к · оборудование 303,2к · ИТ/маркетинг 275к · дизайн-проекты 252к · прочее 2,2к.</t>
        </is>
      </c>
    </row>
    <row r="31">
      <c r="B31" t="inlineStr">
        <is>
          <t>Достройка до открытия (остаток ремонта и оборудования)</t>
        </is>
      </c>
      <c r="C31" t="inlineStr">
        <is>
          <t>₽</t>
        </is>
      </c>
      <c r="D31" s="4">
        <f>INDEX(E31:G31,$D$2)</f>
        <v/>
      </c>
      <c r="E31" s="10" t="n">
        <v>1700000</v>
      </c>
      <c r="F31" s="10" t="n">
        <v>1700000</v>
      </c>
      <c r="G31" s="10" t="n">
        <v>1700000</v>
      </c>
      <c r="H31" t="inlineStr">
        <is>
          <t>ФАКТ (июль-2026): ≈1,7 млн, падает в август. Вместе с потраченными 1,55 млн капекс = 3,25 млн &gt; плана 3,0 млн.</t>
        </is>
      </c>
    </row>
    <row r="33">
      <c r="B33" s="2" t="inlineStr">
        <is>
          <t>— РАСЧЁТНЫЕ (не трогать) —</t>
        </is>
      </c>
    </row>
    <row r="34">
      <c r="B34" t="inlineStr">
        <is>
          <t>Жизнь клиента (= покупок × длительность)</t>
        </is>
      </c>
      <c r="C34" t="inlineStr">
        <is>
          <t>мес</t>
        </is>
      </c>
      <c r="D34" s="21">
        <f>D17*D16</f>
        <v/>
      </c>
    </row>
    <row r="35">
      <c r="B35" t="inlineStr">
        <is>
          <t>Деньги с действующего клиента в месяц (= платёж / длительность)</t>
        </is>
      </c>
      <c r="C35" t="inlineStr">
        <is>
          <t>₽/мес</t>
        </is>
      </c>
      <c r="D35" s="22">
        <f>D15/D16</f>
        <v/>
      </c>
    </row>
    <row r="36">
      <c r="B36" t="inlineStr">
        <is>
          <t>Бюджет таргета (= потолок лидов × CPL)</t>
        </is>
      </c>
      <c r="C36" t="inlineStr">
        <is>
          <t>₽/мес</t>
        </is>
      </c>
      <c r="D36" s="22">
        <f>D9*D6</f>
        <v/>
      </c>
    </row>
    <row r="37">
      <c r="B37" t="inlineStr">
        <is>
          <t>Касса на старте (= план 3 млн − уже потрачено)</t>
        </is>
      </c>
      <c r="C37" t="inlineStr">
        <is>
          <t>₽</t>
        </is>
      </c>
      <c r="D37" s="22">
        <f>D29-D30</f>
        <v/>
      </c>
    </row>
    <row r="39">
      <c r="B39" s="2" t="inlineStr">
        <is>
          <t>— СЕЗОННОСТЬ (факт вашей CRM; можно править) —</t>
        </is>
      </c>
    </row>
    <row r="40">
      <c r="B40" s="2" t="inlineStr">
        <is>
          <t>Месяц</t>
        </is>
      </c>
      <c r="C40" s="2" t="inlineStr">
        <is>
          <t>Коэфф. притока лидов</t>
        </is>
      </c>
      <c r="D40" s="2" t="inlineStr">
        <is>
          <t>Коэфф. конверсии в покупку</t>
        </is>
      </c>
    </row>
    <row r="41">
      <c r="B41" s="6" t="inlineStr">
        <is>
          <t>январь</t>
        </is>
      </c>
      <c r="C41" s="23" t="n">
        <v>1</v>
      </c>
      <c r="D41" s="23" t="n">
        <v>0.6</v>
      </c>
    </row>
    <row r="42">
      <c r="B42" s="6" t="inlineStr">
        <is>
          <t>февраль</t>
        </is>
      </c>
      <c r="C42" s="23" t="n">
        <v>1.4</v>
      </c>
      <c r="D42" s="23" t="n">
        <v>1</v>
      </c>
    </row>
    <row r="43">
      <c r="B43" s="6" t="inlineStr">
        <is>
          <t>март</t>
        </is>
      </c>
      <c r="C43" s="23" t="n">
        <v>1.1</v>
      </c>
      <c r="D43" s="23" t="n">
        <v>1</v>
      </c>
    </row>
    <row r="44">
      <c r="B44" s="6" t="inlineStr">
        <is>
          <t>апрель</t>
        </is>
      </c>
      <c r="C44" s="23" t="n">
        <v>1</v>
      </c>
      <c r="D44" s="23" t="n">
        <v>1</v>
      </c>
    </row>
    <row r="45">
      <c r="B45" s="6" t="inlineStr">
        <is>
          <t>май</t>
        </is>
      </c>
      <c r="C45" s="23" t="n">
        <v>1</v>
      </c>
      <c r="D45" s="23" t="n">
        <v>1</v>
      </c>
    </row>
    <row r="46">
      <c r="B46" s="6" t="inlineStr">
        <is>
          <t>июнь</t>
        </is>
      </c>
      <c r="C46" s="23" t="n">
        <v>0.6</v>
      </c>
      <c r="D46" s="23" t="n">
        <v>0.9</v>
      </c>
    </row>
    <row r="47">
      <c r="B47" s="6" t="inlineStr">
        <is>
          <t>июль</t>
        </is>
      </c>
      <c r="C47" s="23" t="n">
        <v>0.5</v>
      </c>
      <c r="D47" s="23" t="n">
        <v>0.9</v>
      </c>
    </row>
    <row r="48">
      <c r="B48" s="6" t="inlineStr">
        <is>
          <t>август</t>
        </is>
      </c>
      <c r="C48" s="23" t="n">
        <v>0.7</v>
      </c>
      <c r="D48" s="23" t="n">
        <v>1</v>
      </c>
    </row>
    <row r="49">
      <c r="B49" s="6" t="inlineStr">
        <is>
          <t>сентябрь</t>
        </is>
      </c>
      <c r="C49" s="23" t="n">
        <v>1.2</v>
      </c>
      <c r="D49" s="23" t="n">
        <v>1</v>
      </c>
    </row>
    <row r="50">
      <c r="B50" s="6" t="inlineStr">
        <is>
          <t>октябрь</t>
        </is>
      </c>
      <c r="C50" s="23" t="n">
        <v>1.1</v>
      </c>
      <c r="D50" s="23" t="n">
        <v>1</v>
      </c>
    </row>
    <row r="51">
      <c r="B51" s="6" t="inlineStr">
        <is>
          <t>ноябрь</t>
        </is>
      </c>
      <c r="C51" s="23" t="n">
        <v>1</v>
      </c>
      <c r="D51" s="23" t="n">
        <v>1</v>
      </c>
    </row>
    <row r="52">
      <c r="B52" s="6" t="inlineStr">
        <is>
          <t>декабрь</t>
        </is>
      </c>
      <c r="C52" s="23" t="n">
        <v>0.8</v>
      </c>
      <c r="D52" s="23" t="n">
        <v>0.8</v>
      </c>
    </row>
    <row r="53">
      <c r="B53" t="inlineStr">
        <is>
          <t>янв: заявки есть, покупают хуже (×0,6); фев: пик (факт ×1,8 — тут консервативно 1,4); лето: приток ×0,5–0,6.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U28"/>
  <sheetViews>
    <sheetView workbookViewId="0">
      <selection activeCell="A1" sqref="A1"/>
    </sheetView>
  </sheetViews>
  <sheetFormatPr baseColWidth="8" defaultRowHeight="15"/>
  <cols>
    <col width="44" customWidth="1" min="2" max="2"/>
  </cols>
  <sheetData>
    <row r="2">
      <c r="B2" s="1" t="inlineStr">
        <is>
          <t>Воронка и деньги (всё считается с листа «Допущения»)</t>
        </is>
      </c>
    </row>
    <row r="3">
      <c r="B3" s="8" t="inlineStr">
        <is>
          <t>Месяц</t>
        </is>
      </c>
      <c r="C3" s="24" t="n">
        <v>46235</v>
      </c>
      <c r="D3" s="24" t="n">
        <v>46266</v>
      </c>
      <c r="E3" s="24" t="n">
        <v>46296</v>
      </c>
      <c r="F3" s="24" t="n">
        <v>46327</v>
      </c>
      <c r="G3" s="24" t="n">
        <v>46357</v>
      </c>
      <c r="H3" s="24" t="n">
        <v>46388</v>
      </c>
      <c r="I3" s="24" t="n">
        <v>46419</v>
      </c>
      <c r="J3" s="24" t="n">
        <v>46447</v>
      </c>
      <c r="K3" s="24" t="n">
        <v>46478</v>
      </c>
      <c r="L3" s="24" t="n">
        <v>46508</v>
      </c>
      <c r="M3" s="24" t="n">
        <v>46539</v>
      </c>
      <c r="N3" s="24" t="n">
        <v>46569</v>
      </c>
      <c r="O3" s="24" t="n">
        <v>46600</v>
      </c>
      <c r="P3" s="24" t="n">
        <v>46631</v>
      </c>
      <c r="Q3" s="24" t="n">
        <v>46661</v>
      </c>
      <c r="R3" s="24" t="n">
        <v>46692</v>
      </c>
      <c r="S3" s="24" t="n">
        <v>46722</v>
      </c>
      <c r="T3" s="8" t="inlineStr">
        <is>
          <t>2026</t>
        </is>
      </c>
      <c r="U3" s="8" t="inlineStr">
        <is>
          <t>2027</t>
        </is>
      </c>
    </row>
    <row r="5">
      <c r="B5" s="25" t="inlineStr">
        <is>
          <t>Сезонный коэфф. притока</t>
        </is>
      </c>
      <c r="C5" s="26">
        <f>INDEX(Допущения!$C$41:$C$52,MONTH(C$3))</f>
        <v/>
      </c>
      <c r="D5" s="26">
        <f>INDEX(Допущения!$C$41:$C$52,MONTH(D$3))</f>
        <v/>
      </c>
      <c r="E5" s="26">
        <f>INDEX(Допущения!$C$41:$C$52,MONTH(E$3))</f>
        <v/>
      </c>
      <c r="F5" s="26">
        <f>INDEX(Допущения!$C$41:$C$52,MONTH(F$3))</f>
        <v/>
      </c>
      <c r="G5" s="26">
        <f>INDEX(Допущения!$C$41:$C$52,MONTH(G$3))</f>
        <v/>
      </c>
      <c r="H5" s="26">
        <f>INDEX(Допущения!$C$41:$C$52,MONTH(H$3))</f>
        <v/>
      </c>
      <c r="I5" s="26">
        <f>INDEX(Допущения!$C$41:$C$52,MONTH(I$3))</f>
        <v/>
      </c>
      <c r="J5" s="26">
        <f>INDEX(Допущения!$C$41:$C$52,MONTH(J$3))</f>
        <v/>
      </c>
      <c r="K5" s="26">
        <f>INDEX(Допущения!$C$41:$C$52,MONTH(K$3))</f>
        <v/>
      </c>
      <c r="L5" s="26">
        <f>INDEX(Допущения!$C$41:$C$52,MONTH(L$3))</f>
        <v/>
      </c>
      <c r="M5" s="26">
        <f>INDEX(Допущения!$C$41:$C$52,MONTH(M$3))</f>
        <v/>
      </c>
      <c r="N5" s="26">
        <f>INDEX(Допущения!$C$41:$C$52,MONTH(N$3))</f>
        <v/>
      </c>
      <c r="O5" s="26">
        <f>INDEX(Допущения!$C$41:$C$52,MONTH(O$3))</f>
        <v/>
      </c>
      <c r="P5" s="26">
        <f>INDEX(Допущения!$C$41:$C$52,MONTH(P$3))</f>
        <v/>
      </c>
      <c r="Q5" s="26">
        <f>INDEX(Допущения!$C$41:$C$52,MONTH(Q$3))</f>
        <v/>
      </c>
      <c r="R5" s="26">
        <f>INDEX(Допущения!$C$41:$C$52,MONTH(R$3))</f>
        <v/>
      </c>
      <c r="S5" s="26">
        <f>INDEX(Допущения!$C$41:$C$52,MONTH(S$3))</f>
        <v/>
      </c>
    </row>
    <row r="6">
      <c r="B6" s="25" t="inlineStr">
        <is>
          <t>Сезонный коэфф. конверсии</t>
        </is>
      </c>
      <c r="C6" s="26">
        <f>INDEX(Допущения!$D$41:$D$52,MONTH(C$3))</f>
        <v/>
      </c>
      <c r="D6" s="26">
        <f>INDEX(Допущения!$D$41:$D$52,MONTH(D$3))</f>
        <v/>
      </c>
      <c r="E6" s="26">
        <f>INDEX(Допущения!$D$41:$D$52,MONTH(E$3))</f>
        <v/>
      </c>
      <c r="F6" s="26">
        <f>INDEX(Допущения!$D$41:$D$52,MONTH(F$3))</f>
        <v/>
      </c>
      <c r="G6" s="26">
        <f>INDEX(Допущения!$D$41:$D$52,MONTH(G$3))</f>
        <v/>
      </c>
      <c r="H6" s="26">
        <f>INDEX(Допущения!$D$41:$D$52,MONTH(H$3))</f>
        <v/>
      </c>
      <c r="I6" s="26">
        <f>INDEX(Допущения!$D$41:$D$52,MONTH(I$3))</f>
        <v/>
      </c>
      <c r="J6" s="26">
        <f>INDEX(Допущения!$D$41:$D$52,MONTH(J$3))</f>
        <v/>
      </c>
      <c r="K6" s="26">
        <f>INDEX(Допущения!$D$41:$D$52,MONTH(K$3))</f>
        <v/>
      </c>
      <c r="L6" s="26">
        <f>INDEX(Допущения!$D$41:$D$52,MONTH(L$3))</f>
        <v/>
      </c>
      <c r="M6" s="26">
        <f>INDEX(Допущения!$D$41:$D$52,MONTH(M$3))</f>
        <v/>
      </c>
      <c r="N6" s="26">
        <f>INDEX(Допущения!$D$41:$D$52,MONTH(N$3))</f>
        <v/>
      </c>
      <c r="O6" s="26">
        <f>INDEX(Допущения!$D$41:$D$52,MONTH(O$3))</f>
        <v/>
      </c>
      <c r="P6" s="26">
        <f>INDEX(Допущения!$D$41:$D$52,MONTH(P$3))</f>
        <v/>
      </c>
      <c r="Q6" s="26">
        <f>INDEX(Допущения!$D$41:$D$52,MONTH(Q$3))</f>
        <v/>
      </c>
      <c r="R6" s="26">
        <f>INDEX(Допущения!$D$41:$D$52,MONTH(R$3))</f>
        <v/>
      </c>
      <c r="S6" s="26">
        <f>INDEX(Допущения!$D$41:$D$52,MONTH(S$3))</f>
        <v/>
      </c>
    </row>
    <row r="8">
      <c r="B8" s="25" t="inlineStr">
        <is>
          <t>Платные лиды (таргет, с потолком канала)</t>
        </is>
      </c>
      <c r="C8" s="27">
        <f>MIN(Допущения!$D$9,Допущения!$D$36/Допущения!$D$6)*C5</f>
        <v/>
      </c>
      <c r="D8" s="27">
        <f>MIN(Допущения!$D$9,Допущения!$D$36/Допущения!$D$6)*D5</f>
        <v/>
      </c>
      <c r="E8" s="27">
        <f>MIN(Допущения!$D$9,Допущения!$D$36/Допущения!$D$6)*E5</f>
        <v/>
      </c>
      <c r="F8" s="27">
        <f>MIN(Допущения!$D$9,Допущения!$D$36/Допущения!$D$6)*F5</f>
        <v/>
      </c>
      <c r="G8" s="27">
        <f>MIN(Допущения!$D$9,Допущения!$D$36/Допущения!$D$6)*G5</f>
        <v/>
      </c>
      <c r="H8" s="27">
        <f>MIN(Допущения!$D$9,Допущения!$D$36/Допущения!$D$6)*H5</f>
        <v/>
      </c>
      <c r="I8" s="27">
        <f>MIN(Допущения!$D$9,Допущения!$D$36/Допущения!$D$6)*I5</f>
        <v/>
      </c>
      <c r="J8" s="27">
        <f>MIN(Допущения!$D$9,Допущения!$D$36/Допущения!$D$6)*J5</f>
        <v/>
      </c>
      <c r="K8" s="27">
        <f>MIN(Допущения!$D$9,Допущения!$D$36/Допущения!$D$6)*K5</f>
        <v/>
      </c>
      <c r="L8" s="27">
        <f>MIN(Допущения!$D$9,Допущения!$D$36/Допущения!$D$6)*L5</f>
        <v/>
      </c>
      <c r="M8" s="27">
        <f>MIN(Допущения!$D$9,Допущения!$D$36/Допущения!$D$6)*M5</f>
        <v/>
      </c>
      <c r="N8" s="27">
        <f>MIN(Допущения!$D$9,Допущения!$D$36/Допущения!$D$6)*N5</f>
        <v/>
      </c>
      <c r="O8" s="27">
        <f>MIN(Допущения!$D$9,Допущения!$D$36/Допущения!$D$6)*O5</f>
        <v/>
      </c>
      <c r="P8" s="27">
        <f>MIN(Допущения!$D$9,Допущения!$D$36/Допущения!$D$6)*P5</f>
        <v/>
      </c>
      <c r="Q8" s="27">
        <f>MIN(Допущения!$D$9,Допущения!$D$36/Допущения!$D$6)*Q5</f>
        <v/>
      </c>
      <c r="R8" s="27">
        <f>MIN(Допущения!$D$9,Допущения!$D$36/Допущения!$D$6)*R5</f>
        <v/>
      </c>
      <c r="S8" s="27">
        <f>MIN(Допущения!$D$9,Допущения!$D$36/Допущения!$D$6)*S5</f>
        <v/>
      </c>
      <c r="T8" s="22">
        <f>SUM(C8:G8)</f>
        <v/>
      </c>
      <c r="U8" s="22">
        <f>SUM(H8:S8)</f>
        <v/>
      </c>
    </row>
    <row r="9">
      <c r="B9" s="25" t="inlineStr">
        <is>
          <t>Органические лиды (сарафан/карты/сайт)</t>
        </is>
      </c>
      <c r="C9" s="27">
        <f>Допущения!$D$10*(1+Допущения!$D$11)^0*C5</f>
        <v/>
      </c>
      <c r="D9" s="27">
        <f>Допущения!$D$10*(1+Допущения!$D$11)^1*D5</f>
        <v/>
      </c>
      <c r="E9" s="27">
        <f>Допущения!$D$10*(1+Допущения!$D$11)^2*E5</f>
        <v/>
      </c>
      <c r="F9" s="27">
        <f>Допущения!$D$10*(1+Допущения!$D$11)^3*F5</f>
        <v/>
      </c>
      <c r="G9" s="27">
        <f>Допущения!$D$10*(1+Допущения!$D$11)^4*G5</f>
        <v/>
      </c>
      <c r="H9" s="27">
        <f>Допущения!$D$10*(1+Допущения!$D$11)^5*H5</f>
        <v/>
      </c>
      <c r="I9" s="27">
        <f>Допущения!$D$10*(1+Допущения!$D$11)^6*I5</f>
        <v/>
      </c>
      <c r="J9" s="27">
        <f>Допущения!$D$10*(1+Допущения!$D$11)^7*J5</f>
        <v/>
      </c>
      <c r="K9" s="27">
        <f>Допущения!$D$10*(1+Допущения!$D$11)^8*K5</f>
        <v/>
      </c>
      <c r="L9" s="27">
        <f>Допущения!$D$10*(1+Допущения!$D$11)^9*L5</f>
        <v/>
      </c>
      <c r="M9" s="27">
        <f>Допущения!$D$10*(1+Допущения!$D$11)^10*M5</f>
        <v/>
      </c>
      <c r="N9" s="27">
        <f>Допущения!$D$10*(1+Допущения!$D$11)^11*N5</f>
        <v/>
      </c>
      <c r="O9" s="27">
        <f>Допущения!$D$10*(1+Допущения!$D$11)^12*O5</f>
        <v/>
      </c>
      <c r="P9" s="27">
        <f>Допущения!$D$10*(1+Допущения!$D$11)^13*P5</f>
        <v/>
      </c>
      <c r="Q9" s="27">
        <f>Допущения!$D$10*(1+Допущения!$D$11)^14*Q5</f>
        <v/>
      </c>
      <c r="R9" s="27">
        <f>Допущения!$D$10*(1+Допущения!$D$11)^15*R5</f>
        <v/>
      </c>
      <c r="S9" s="27">
        <f>Допущения!$D$10*(1+Допущения!$D$11)^16*S5</f>
        <v/>
      </c>
      <c r="T9" s="22">
        <f>SUM(C9:G9)</f>
        <v/>
      </c>
      <c r="U9" s="22">
        <f>SUM(H9:S9)</f>
        <v/>
      </c>
    </row>
    <row r="10">
      <c r="B10" s="8" t="inlineStr">
        <is>
          <t>Лидов всего</t>
        </is>
      </c>
      <c r="C10" s="4">
        <f>C8+C9</f>
        <v/>
      </c>
      <c r="D10" s="4">
        <f>D8+D9</f>
        <v/>
      </c>
      <c r="E10" s="4">
        <f>E8+E9</f>
        <v/>
      </c>
      <c r="F10" s="4">
        <f>F8+F9</f>
        <v/>
      </c>
      <c r="G10" s="4">
        <f>G8+G9</f>
        <v/>
      </c>
      <c r="H10" s="4">
        <f>H8+H9</f>
        <v/>
      </c>
      <c r="I10" s="4">
        <f>I8+I9</f>
        <v/>
      </c>
      <c r="J10" s="4">
        <f>J8+J9</f>
        <v/>
      </c>
      <c r="K10" s="4">
        <f>K8+K9</f>
        <v/>
      </c>
      <c r="L10" s="4">
        <f>L8+L9</f>
        <v/>
      </c>
      <c r="M10" s="4">
        <f>M8+M9</f>
        <v/>
      </c>
      <c r="N10" s="4">
        <f>N8+N9</f>
        <v/>
      </c>
      <c r="O10" s="4">
        <f>O8+O9</f>
        <v/>
      </c>
      <c r="P10" s="4">
        <f>P8+P9</f>
        <v/>
      </c>
      <c r="Q10" s="4">
        <f>Q8+Q9</f>
        <v/>
      </c>
      <c r="R10" s="4">
        <f>R8+R9</f>
        <v/>
      </c>
      <c r="S10" s="4">
        <f>S8+S9</f>
        <v/>
      </c>
      <c r="T10" s="22">
        <f>SUM(C10:G10)</f>
        <v/>
      </c>
      <c r="U10" s="22">
        <f>SUM(H10:S10)</f>
        <v/>
      </c>
    </row>
    <row r="11">
      <c r="B11" s="25" t="inlineStr">
        <is>
          <t>Пробных занятий</t>
        </is>
      </c>
      <c r="C11" s="27">
        <f>(C8+C9)*Допущения!$D$12*C6</f>
        <v/>
      </c>
      <c r="D11" s="27">
        <f>(D8+D9)*Допущения!$D$12*D6</f>
        <v/>
      </c>
      <c r="E11" s="27">
        <f>(E8+E9)*Допущения!$D$12*E6</f>
        <v/>
      </c>
      <c r="F11" s="27">
        <f>(F8+F9)*Допущения!$D$12*F6</f>
        <v/>
      </c>
      <c r="G11" s="27">
        <f>(G8+G9)*Допущения!$D$12*G6</f>
        <v/>
      </c>
      <c r="H11" s="27">
        <f>(H8+H9)*Допущения!$D$12*H6</f>
        <v/>
      </c>
      <c r="I11" s="27">
        <f>(I8+I9)*Допущения!$D$12*I6</f>
        <v/>
      </c>
      <c r="J11" s="27">
        <f>(J8+J9)*Допущения!$D$12*J6</f>
        <v/>
      </c>
      <c r="K11" s="27">
        <f>(K8+K9)*Допущения!$D$12*K6</f>
        <v/>
      </c>
      <c r="L11" s="27">
        <f>(L8+L9)*Допущения!$D$12*L6</f>
        <v/>
      </c>
      <c r="M11" s="27">
        <f>(M8+M9)*Допущения!$D$12*M6</f>
        <v/>
      </c>
      <c r="N11" s="27">
        <f>(N8+N9)*Допущения!$D$12*N6</f>
        <v/>
      </c>
      <c r="O11" s="27">
        <f>(O8+O9)*Допущения!$D$12*O6</f>
        <v/>
      </c>
      <c r="P11" s="27">
        <f>(P8+P9)*Допущения!$D$12*P6</f>
        <v/>
      </c>
      <c r="Q11" s="27">
        <f>(Q8+Q9)*Допущения!$D$12*Q6</f>
        <v/>
      </c>
      <c r="R11" s="27">
        <f>(R8+R9)*Допущения!$D$12*R6</f>
        <v/>
      </c>
      <c r="S11" s="27">
        <f>(S8+S9)*Допущения!$D$12*S6</f>
        <v/>
      </c>
      <c r="T11" s="22">
        <f>SUM(C11:G11)</f>
        <v/>
      </c>
      <c r="U11" s="22">
        <f>SUM(H11:S11)</f>
        <v/>
      </c>
    </row>
    <row r="12">
      <c r="B12" s="8" t="inlineStr">
        <is>
          <t>НОВЫХ клиентов (купили абонемент)</t>
        </is>
      </c>
      <c r="C12" s="4">
        <f>(C8*Допущения!$D$7+C9*Допущения!$D$8)*C6*Допущения!$D$13</f>
        <v/>
      </c>
      <c r="D12" s="4">
        <f>(D8*Допущения!$D$7+D9*Допущения!$D$8)*D6*Допущения!$D$13</f>
        <v/>
      </c>
      <c r="E12" s="4">
        <f>(E8*Допущения!$D$7+E9*Допущения!$D$8)*E6*Допущения!$D$13</f>
        <v/>
      </c>
      <c r="F12" s="4">
        <f>(F8*Допущения!$D$7+F9*Допущения!$D$8)*F6*Допущения!$D$13</f>
        <v/>
      </c>
      <c r="G12" s="4">
        <f>(G8*Допущения!$D$7+G9*Допущения!$D$8)*G6*Допущения!$D$13</f>
        <v/>
      </c>
      <c r="H12" s="4">
        <f>(H8*Допущения!$D$7+H9*Допущения!$D$8)*H6*Допущения!$D$13</f>
        <v/>
      </c>
      <c r="I12" s="4">
        <f>(I8*Допущения!$D$7+I9*Допущения!$D$8)*I6*Допущения!$D$13</f>
        <v/>
      </c>
      <c r="J12" s="4">
        <f>(J8*Допущения!$D$7+J9*Допущения!$D$8)*J6*Допущения!$D$13</f>
        <v/>
      </c>
      <c r="K12" s="4">
        <f>(K8*Допущения!$D$7+K9*Допущения!$D$8)*K6*Допущения!$D$13</f>
        <v/>
      </c>
      <c r="L12" s="4">
        <f>(L8*Допущения!$D$7+L9*Допущения!$D$8)*L6*Допущения!$D$13</f>
        <v/>
      </c>
      <c r="M12" s="4">
        <f>(M8*Допущения!$D$7+M9*Допущения!$D$8)*M6*Допущения!$D$13</f>
        <v/>
      </c>
      <c r="N12" s="4">
        <f>(N8*Допущения!$D$7+N9*Допущения!$D$8)*N6*Допущения!$D$13</f>
        <v/>
      </c>
      <c r="O12" s="4">
        <f>(O8*Допущения!$D$7+O9*Допущения!$D$8)*O6*Допущения!$D$13</f>
        <v/>
      </c>
      <c r="P12" s="4">
        <f>(P8*Допущения!$D$7+P9*Допущения!$D$8)*P6*Допущения!$D$13</f>
        <v/>
      </c>
      <c r="Q12" s="4">
        <f>(Q8*Допущения!$D$7+Q9*Допущения!$D$8)*Q6*Допущения!$D$13</f>
        <v/>
      </c>
      <c r="R12" s="4">
        <f>(R8*Допущения!$D$7+R9*Допущения!$D$8)*R6*Допущения!$D$13</f>
        <v/>
      </c>
      <c r="S12" s="4">
        <f>(S8*Допущения!$D$7+S9*Допущения!$D$8)*S6*Допущения!$D$13</f>
        <v/>
      </c>
      <c r="T12" s="22">
        <f>SUM(C12:G12)</f>
        <v/>
      </c>
      <c r="U12" s="22">
        <f>SUM(H12:S12)</f>
        <v/>
      </c>
    </row>
    <row r="13">
      <c r="B13" s="8" t="inlineStr">
        <is>
          <t>ДЕЙСТВУЮЩИХ клиентов (абонементы)</t>
        </is>
      </c>
      <c r="C13" s="4">
        <f>MIN(Допущения!$D$19,Допущения!$D$20*(1-1/Допущения!$D$34)+C12)</f>
        <v/>
      </c>
      <c r="D13" s="4">
        <f>MIN(Допущения!$D$19,C13*(1-1/Допущения!$D$34)+D12)</f>
        <v/>
      </c>
      <c r="E13" s="4">
        <f>MIN(Допущения!$D$19,D13*(1-1/Допущения!$D$34)+E12)</f>
        <v/>
      </c>
      <c r="F13" s="4">
        <f>MIN(Допущения!$D$19,E13*(1-1/Допущения!$D$34)+F12)</f>
        <v/>
      </c>
      <c r="G13" s="4">
        <f>MIN(Допущения!$D$19,F13*(1-1/Допущения!$D$34)+G12)</f>
        <v/>
      </c>
      <c r="H13" s="4">
        <f>MIN(Допущения!$D$19,G13*(1-1/Допущения!$D$34)+H12)</f>
        <v/>
      </c>
      <c r="I13" s="4">
        <f>MIN(Допущения!$D$19,H13*(1-1/Допущения!$D$34)+I12)</f>
        <v/>
      </c>
      <c r="J13" s="4">
        <f>MIN(Допущения!$D$19,I13*(1-1/Допущения!$D$34)+J12)</f>
        <v/>
      </c>
      <c r="K13" s="4">
        <f>MIN(Допущения!$D$19,J13*(1-1/Допущения!$D$34)+K12)</f>
        <v/>
      </c>
      <c r="L13" s="4">
        <f>MIN(Допущения!$D$19,K13*(1-1/Допущения!$D$34)+L12)</f>
        <v/>
      </c>
      <c r="M13" s="4">
        <f>MIN(Допущения!$D$19,L13*(1-1/Допущения!$D$34)+M12)</f>
        <v/>
      </c>
      <c r="N13" s="4">
        <f>MIN(Допущения!$D$19,M13*(1-1/Допущения!$D$34)+N12)</f>
        <v/>
      </c>
      <c r="O13" s="4">
        <f>MIN(Допущения!$D$19,N13*(1-1/Допущения!$D$34)+O12)</f>
        <v/>
      </c>
      <c r="P13" s="4">
        <f>MIN(Допущения!$D$19,O13*(1-1/Допущения!$D$34)+P12)</f>
        <v/>
      </c>
      <c r="Q13" s="4">
        <f>MIN(Допущения!$D$19,P13*(1-1/Допущения!$D$34)+Q12)</f>
        <v/>
      </c>
      <c r="R13" s="4">
        <f>MIN(Допущения!$D$19,Q13*(1-1/Допущения!$D$34)+R12)</f>
        <v/>
      </c>
      <c r="S13" s="4">
        <f>MIN(Допущения!$D$19,R13*(1-1/Допущения!$D$34)+S12)</f>
        <v/>
      </c>
    </row>
    <row r="14">
      <c r="B14" s="25" t="inlineStr">
        <is>
          <t>Загрузка от потолка 250</t>
        </is>
      </c>
      <c r="C14" s="28">
        <f>C13/Допущения!$D$19</f>
        <v/>
      </c>
      <c r="D14" s="28">
        <f>D13/Допущения!$D$19</f>
        <v/>
      </c>
      <c r="E14" s="28">
        <f>E13/Допущения!$D$19</f>
        <v/>
      </c>
      <c r="F14" s="28">
        <f>F13/Допущения!$D$19</f>
        <v/>
      </c>
      <c r="G14" s="28">
        <f>G13/Допущения!$D$19</f>
        <v/>
      </c>
      <c r="H14" s="28">
        <f>H13/Допущения!$D$19</f>
        <v/>
      </c>
      <c r="I14" s="28">
        <f>I13/Допущения!$D$19</f>
        <v/>
      </c>
      <c r="J14" s="28">
        <f>J13/Допущения!$D$19</f>
        <v/>
      </c>
      <c r="K14" s="28">
        <f>K13/Допущения!$D$19</f>
        <v/>
      </c>
      <c r="L14" s="28">
        <f>L13/Допущения!$D$19</f>
        <v/>
      </c>
      <c r="M14" s="28">
        <f>M13/Допущения!$D$19</f>
        <v/>
      </c>
      <c r="N14" s="28">
        <f>N13/Допущения!$D$19</f>
        <v/>
      </c>
      <c r="O14" s="28">
        <f>O13/Допущения!$D$19</f>
        <v/>
      </c>
      <c r="P14" s="28">
        <f>P13/Допущения!$D$19</f>
        <v/>
      </c>
      <c r="Q14" s="28">
        <f>Q13/Допущения!$D$19</f>
        <v/>
      </c>
      <c r="R14" s="28">
        <f>R13/Допущения!$D$19</f>
        <v/>
      </c>
      <c r="S14" s="28">
        <f>S13/Допущения!$D$19</f>
        <v/>
      </c>
    </row>
    <row r="16">
      <c r="B16" s="25" t="inlineStr">
        <is>
          <t>Выручка: абонементы</t>
        </is>
      </c>
      <c r="C16" s="27">
        <f>C13*Допущения!$D$35</f>
        <v/>
      </c>
      <c r="D16" s="27">
        <f>D13*Допущения!$D$35</f>
        <v/>
      </c>
      <c r="E16" s="27">
        <f>E13*Допущения!$D$35</f>
        <v/>
      </c>
      <c r="F16" s="27">
        <f>F13*Допущения!$D$35</f>
        <v/>
      </c>
      <c r="G16" s="27">
        <f>G13*Допущения!$D$35</f>
        <v/>
      </c>
      <c r="H16" s="27">
        <f>H13*Допущения!$D$35</f>
        <v/>
      </c>
      <c r="I16" s="27">
        <f>I13*Допущения!$D$35</f>
        <v/>
      </c>
      <c r="J16" s="27">
        <f>J13*Допущения!$D$35</f>
        <v/>
      </c>
      <c r="K16" s="27">
        <f>K13*Допущения!$D$35</f>
        <v/>
      </c>
      <c r="L16" s="27">
        <f>L13*Допущения!$D$35</f>
        <v/>
      </c>
      <c r="M16" s="27">
        <f>M13*Допущения!$D$35</f>
        <v/>
      </c>
      <c r="N16" s="27">
        <f>N13*Допущения!$D$35</f>
        <v/>
      </c>
      <c r="O16" s="27">
        <f>O13*Допущения!$D$35</f>
        <v/>
      </c>
      <c r="P16" s="27">
        <f>P13*Допущения!$D$35</f>
        <v/>
      </c>
      <c r="Q16" s="27">
        <f>Q13*Допущения!$D$35</f>
        <v/>
      </c>
      <c r="R16" s="27">
        <f>R13*Допущения!$D$35</f>
        <v/>
      </c>
      <c r="S16" s="27">
        <f>S13*Допущения!$D$35</f>
        <v/>
      </c>
      <c r="T16" s="22">
        <f>SUM(C16:G16)</f>
        <v/>
      </c>
      <c r="U16" s="22">
        <f>SUM(H16:S16)</f>
        <v/>
      </c>
    </row>
    <row r="17">
      <c r="B17" s="25" t="inlineStr">
        <is>
          <t>Выручка: пробные (некупившие)</t>
        </is>
      </c>
      <c r="C17" s="27">
        <f>MAX(0,C11-C12)*Допущения!$D$18</f>
        <v/>
      </c>
      <c r="D17" s="27">
        <f>MAX(0,D11-D12)*Допущения!$D$18</f>
        <v/>
      </c>
      <c r="E17" s="27">
        <f>MAX(0,E11-E12)*Допущения!$D$18</f>
        <v/>
      </c>
      <c r="F17" s="27">
        <f>MAX(0,F11-F12)*Допущения!$D$18</f>
        <v/>
      </c>
      <c r="G17" s="27">
        <f>MAX(0,G11-G12)*Допущения!$D$18</f>
        <v/>
      </c>
      <c r="H17" s="27">
        <f>MAX(0,H11-H12)*Допущения!$D$18</f>
        <v/>
      </c>
      <c r="I17" s="27">
        <f>MAX(0,I11-I12)*Допущения!$D$18</f>
        <v/>
      </c>
      <c r="J17" s="27">
        <f>MAX(0,J11-J12)*Допущения!$D$18</f>
        <v/>
      </c>
      <c r="K17" s="27">
        <f>MAX(0,K11-K12)*Допущения!$D$18</f>
        <v/>
      </c>
      <c r="L17" s="27">
        <f>MAX(0,L11-L12)*Допущения!$D$18</f>
        <v/>
      </c>
      <c r="M17" s="27">
        <f>MAX(0,M11-M12)*Допущения!$D$18</f>
        <v/>
      </c>
      <c r="N17" s="27">
        <f>MAX(0,N11-N12)*Допущения!$D$18</f>
        <v/>
      </c>
      <c r="O17" s="27">
        <f>MAX(0,O11-O12)*Допущения!$D$18</f>
        <v/>
      </c>
      <c r="P17" s="27">
        <f>MAX(0,P11-P12)*Допущения!$D$18</f>
        <v/>
      </c>
      <c r="Q17" s="27">
        <f>MAX(0,Q11-Q12)*Допущения!$D$18</f>
        <v/>
      </c>
      <c r="R17" s="27">
        <f>MAX(0,R11-R12)*Допущения!$D$18</f>
        <v/>
      </c>
      <c r="S17" s="27">
        <f>MAX(0,S11-S12)*Допущения!$D$18</f>
        <v/>
      </c>
      <c r="T17" s="22">
        <f>SUM(C17:G17)</f>
        <v/>
      </c>
      <c r="U17" s="22">
        <f>SUM(H17:S17)</f>
        <v/>
      </c>
    </row>
    <row r="18">
      <c r="B18" s="8" t="inlineStr">
        <is>
          <t>ИТОГО выручка</t>
        </is>
      </c>
      <c r="C18" s="4">
        <f>C16+C17</f>
        <v/>
      </c>
      <c r="D18" s="4">
        <f>D16+D17</f>
        <v/>
      </c>
      <c r="E18" s="4">
        <f>E16+E17</f>
        <v/>
      </c>
      <c r="F18" s="4">
        <f>F16+F17</f>
        <v/>
      </c>
      <c r="G18" s="4">
        <f>G16+G17</f>
        <v/>
      </c>
      <c r="H18" s="4">
        <f>H16+H17</f>
        <v/>
      </c>
      <c r="I18" s="4">
        <f>I16+I17</f>
        <v/>
      </c>
      <c r="J18" s="4">
        <f>J16+J17</f>
        <v/>
      </c>
      <c r="K18" s="4">
        <f>K16+K17</f>
        <v/>
      </c>
      <c r="L18" s="4">
        <f>L16+L17</f>
        <v/>
      </c>
      <c r="M18" s="4">
        <f>M16+M17</f>
        <v/>
      </c>
      <c r="N18" s="4">
        <f>N16+N17</f>
        <v/>
      </c>
      <c r="O18" s="4">
        <f>O16+O17</f>
        <v/>
      </c>
      <c r="P18" s="4">
        <f>P16+P17</f>
        <v/>
      </c>
      <c r="Q18" s="4">
        <f>Q16+Q17</f>
        <v/>
      </c>
      <c r="R18" s="4">
        <f>R16+R17</f>
        <v/>
      </c>
      <c r="S18" s="4">
        <f>S16+S17</f>
        <v/>
      </c>
      <c r="T18" s="22">
        <f>SUM(C18:G18)</f>
        <v/>
      </c>
      <c r="U18" s="22">
        <f>SUM(H18:S18)</f>
        <v/>
      </c>
    </row>
    <row r="20">
      <c r="B20" s="25" t="inlineStr">
        <is>
          <t>Маркетинг (таргет)</t>
        </is>
      </c>
      <c r="C20" s="27">
        <f>Допущения!$D$36</f>
        <v/>
      </c>
      <c r="D20" s="27">
        <f>Допущения!$D$36</f>
        <v/>
      </c>
      <c r="E20" s="27">
        <f>Допущения!$D$36</f>
        <v/>
      </c>
      <c r="F20" s="27">
        <f>Допущения!$D$36</f>
        <v/>
      </c>
      <c r="G20" s="27">
        <f>Допущения!$D$36</f>
        <v/>
      </c>
      <c r="H20" s="27">
        <f>Допущения!$D$36</f>
        <v/>
      </c>
      <c r="I20" s="27">
        <f>Допущения!$D$36</f>
        <v/>
      </c>
      <c r="J20" s="27">
        <f>Допущения!$D$36</f>
        <v/>
      </c>
      <c r="K20" s="27">
        <f>Допущения!$D$36</f>
        <v/>
      </c>
      <c r="L20" s="27">
        <f>Допущения!$D$36</f>
        <v/>
      </c>
      <c r="M20" s="27">
        <f>Допущения!$D$36</f>
        <v/>
      </c>
      <c r="N20" s="27">
        <f>Допущения!$D$36</f>
        <v/>
      </c>
      <c r="O20" s="27">
        <f>Допущения!$D$36</f>
        <v/>
      </c>
      <c r="P20" s="27">
        <f>Допущения!$D$36</f>
        <v/>
      </c>
      <c r="Q20" s="27">
        <f>Допущения!$D$36</f>
        <v/>
      </c>
      <c r="R20" s="27">
        <f>Допущения!$D$36</f>
        <v/>
      </c>
      <c r="S20" s="27">
        <f>Допущения!$D$36</f>
        <v/>
      </c>
      <c r="T20" s="22">
        <f>SUM(C20:G20)</f>
        <v/>
      </c>
      <c r="U20" s="22">
        <f>SUM(H20:S20)</f>
        <v/>
      </c>
    </row>
    <row r="21">
      <c r="B21" s="25" t="inlineStr">
        <is>
          <t>Прочие постоянные (аренда и т.п.)</t>
        </is>
      </c>
      <c r="C21" s="27">
        <f>Допущения!$D$22</f>
        <v/>
      </c>
      <c r="D21" s="27">
        <f>Допущения!$D$22</f>
        <v/>
      </c>
      <c r="E21" s="27">
        <f>Допущения!$D$22</f>
        <v/>
      </c>
      <c r="F21" s="27">
        <f>Допущения!$D$22</f>
        <v/>
      </c>
      <c r="G21" s="27">
        <f>Допущения!$D$22</f>
        <v/>
      </c>
      <c r="H21" s="27">
        <f>Допущения!$D$22</f>
        <v/>
      </c>
      <c r="I21" s="27">
        <f>Допущения!$D$22</f>
        <v/>
      </c>
      <c r="J21" s="27">
        <f>Допущения!$D$22</f>
        <v/>
      </c>
      <c r="K21" s="27">
        <f>Допущения!$D$22</f>
        <v/>
      </c>
      <c r="L21" s="27">
        <f>Допущения!$D$22</f>
        <v/>
      </c>
      <c r="M21" s="27">
        <f>Допущения!$D$22</f>
        <v/>
      </c>
      <c r="N21" s="27">
        <f>Допущения!$D$22</f>
        <v/>
      </c>
      <c r="O21" s="27">
        <f>Допущения!$D$22</f>
        <v/>
      </c>
      <c r="P21" s="27">
        <f>Допущения!$D$22</f>
        <v/>
      </c>
      <c r="Q21" s="27">
        <f>Допущения!$D$22</f>
        <v/>
      </c>
      <c r="R21" s="27">
        <f>Допущения!$D$22</f>
        <v/>
      </c>
      <c r="S21" s="27">
        <f>Допущения!$D$22</f>
        <v/>
      </c>
      <c r="T21" s="22">
        <f>SUM(C21:G21)</f>
        <v/>
      </c>
      <c r="U21" s="22">
        <f>SUM(H21:S21)</f>
        <v/>
      </c>
    </row>
    <row r="22">
      <c r="B22" s="25" t="inlineStr">
        <is>
          <t>ФОТ фикс-ядро (маркетинг+админы+руковод.)</t>
        </is>
      </c>
      <c r="C22" s="27">
        <f>Допущения!$D$23</f>
        <v/>
      </c>
      <c r="D22" s="27">
        <f>Допущения!$D$23</f>
        <v/>
      </c>
      <c r="E22" s="27">
        <f>Допущения!$D$23</f>
        <v/>
      </c>
      <c r="F22" s="27">
        <f>Допущения!$D$23</f>
        <v/>
      </c>
      <c r="G22" s="27">
        <f>Допущения!$D$23</f>
        <v/>
      </c>
      <c r="H22" s="27">
        <f>Допущения!$D$23</f>
        <v/>
      </c>
      <c r="I22" s="27">
        <f>Допущения!$D$23</f>
        <v/>
      </c>
      <c r="J22" s="27">
        <f>Допущения!$D$23</f>
        <v/>
      </c>
      <c r="K22" s="27">
        <f>Допущения!$D$23</f>
        <v/>
      </c>
      <c r="L22" s="27">
        <f>Допущения!$D$23</f>
        <v/>
      </c>
      <c r="M22" s="27">
        <f>Допущения!$D$23</f>
        <v/>
      </c>
      <c r="N22" s="27">
        <f>Допущения!$D$23</f>
        <v/>
      </c>
      <c r="O22" s="27">
        <f>Допущения!$D$23</f>
        <v/>
      </c>
      <c r="P22" s="27">
        <f>Допущения!$D$23</f>
        <v/>
      </c>
      <c r="Q22" s="27">
        <f>Допущения!$D$23</f>
        <v/>
      </c>
      <c r="R22" s="27">
        <f>Допущения!$D$23</f>
        <v/>
      </c>
      <c r="S22" s="27">
        <f>Допущения!$D$23</f>
        <v/>
      </c>
      <c r="T22" s="22">
        <f>SUM(C22:G22)</f>
        <v/>
      </c>
      <c r="U22" s="22">
        <f>SUM(H22:S22)</f>
        <v/>
      </c>
    </row>
    <row r="23">
      <c r="B23" s="25" t="inlineStr">
        <is>
          <t>ФОТ преподаватели (500/группа + 100/ребёнок)</t>
        </is>
      </c>
      <c r="C23" s="27">
        <f>MAX(Допущения!$D$26,C13/Допущения!$D$27)*4.33*Допущения!$D$24+C13*4.33*Допущения!$D$25</f>
        <v/>
      </c>
      <c r="D23" s="27">
        <f>MAX(Допущения!$D$26,D13/Допущения!$D$27)*4.33*Допущения!$D$24+D13*4.33*Допущения!$D$25</f>
        <v/>
      </c>
      <c r="E23" s="27">
        <f>MAX(Допущения!$D$26,E13/Допущения!$D$27)*4.33*Допущения!$D$24+E13*4.33*Допущения!$D$25</f>
        <v/>
      </c>
      <c r="F23" s="27">
        <f>MAX(Допущения!$D$26,F13/Допущения!$D$27)*4.33*Допущения!$D$24+F13*4.33*Допущения!$D$25</f>
        <v/>
      </c>
      <c r="G23" s="27">
        <f>MAX(Допущения!$D$26,G13/Допущения!$D$27)*4.33*Допущения!$D$24+G13*4.33*Допущения!$D$25</f>
        <v/>
      </c>
      <c r="H23" s="27">
        <f>MAX(Допущения!$D$26,H13/Допущения!$D$27)*4.33*Допущения!$D$24+H13*4.33*Допущения!$D$25</f>
        <v/>
      </c>
      <c r="I23" s="27">
        <f>MAX(Допущения!$D$26,I13/Допущения!$D$27)*4.33*Допущения!$D$24+I13*4.33*Допущения!$D$25</f>
        <v/>
      </c>
      <c r="J23" s="27">
        <f>MAX(Допущения!$D$26,J13/Допущения!$D$27)*4.33*Допущения!$D$24+J13*4.33*Допущения!$D$25</f>
        <v/>
      </c>
      <c r="K23" s="27">
        <f>MAX(Допущения!$D$26,K13/Допущения!$D$27)*4.33*Допущения!$D$24+K13*4.33*Допущения!$D$25</f>
        <v/>
      </c>
      <c r="L23" s="27">
        <f>MAX(Допущения!$D$26,L13/Допущения!$D$27)*4.33*Допущения!$D$24+L13*4.33*Допущения!$D$25</f>
        <v/>
      </c>
      <c r="M23" s="27">
        <f>MAX(Допущения!$D$26,M13/Допущения!$D$27)*4.33*Допущения!$D$24+M13*4.33*Допущения!$D$25</f>
        <v/>
      </c>
      <c r="N23" s="27">
        <f>MAX(Допущения!$D$26,N13/Допущения!$D$27)*4.33*Допущения!$D$24+N13*4.33*Допущения!$D$25</f>
        <v/>
      </c>
      <c r="O23" s="27">
        <f>MAX(Допущения!$D$26,O13/Допущения!$D$27)*4.33*Допущения!$D$24+O13*4.33*Допущения!$D$25</f>
        <v/>
      </c>
      <c r="P23" s="27">
        <f>MAX(Допущения!$D$26,P13/Допущения!$D$27)*4.33*Допущения!$D$24+P13*4.33*Допущения!$D$25</f>
        <v/>
      </c>
      <c r="Q23" s="27">
        <f>MAX(Допущения!$D$26,Q13/Допущения!$D$27)*4.33*Допущения!$D$24+Q13*4.33*Допущения!$D$25</f>
        <v/>
      </c>
      <c r="R23" s="27">
        <f>MAX(Допущения!$D$26,R13/Допущения!$D$27)*4.33*Допущения!$D$24+R13*4.33*Допущения!$D$25</f>
        <v/>
      </c>
      <c r="S23" s="27">
        <f>MAX(Допущения!$D$26,S13/Допущения!$D$27)*4.33*Допущения!$D$24+S13*4.33*Допущения!$D$25</f>
        <v/>
      </c>
      <c r="T23" s="22">
        <f>SUM(C23:G23)</f>
        <v/>
      </c>
      <c r="U23" s="22">
        <f>SUM(H23:S23)</f>
        <v/>
      </c>
    </row>
    <row r="24">
      <c r="B24" s="25" t="inlineStr">
        <is>
          <t>Налоги (ровно как в исходнике!)</t>
        </is>
      </c>
      <c r="C24" s="27" t="n">
        <v>38260</v>
      </c>
      <c r="D24" s="27" t="n">
        <v>0</v>
      </c>
      <c r="E24" s="27" t="n">
        <v>0</v>
      </c>
      <c r="F24" s="27" t="n">
        <v>0</v>
      </c>
      <c r="G24" s="27" t="n">
        <v>40000</v>
      </c>
      <c r="H24" s="27" t="n">
        <v>0</v>
      </c>
      <c r="I24" s="27" t="n">
        <v>0</v>
      </c>
      <c r="J24" s="27" t="n">
        <v>0</v>
      </c>
      <c r="K24" s="27" t="n">
        <v>0</v>
      </c>
      <c r="L24" s="27" t="n">
        <v>0</v>
      </c>
      <c r="M24" s="27" t="n">
        <v>0</v>
      </c>
      <c r="N24" s="27" t="n">
        <v>0</v>
      </c>
      <c r="O24" s="27" t="n">
        <v>0</v>
      </c>
      <c r="P24" s="27" t="n">
        <v>0</v>
      </c>
      <c r="Q24" s="27" t="n">
        <v>0</v>
      </c>
      <c r="R24" s="27" t="n">
        <v>0</v>
      </c>
      <c r="S24" s="27" t="n">
        <v>0</v>
      </c>
      <c r="T24" s="22" t="inlineStr">
        <is>
          <t>⚠ 2027 в исходнике не было: УСН/взносы не заложены</t>
        </is>
      </c>
      <c r="U24" s="22">
        <f>SUM(H24:S24)</f>
        <v/>
      </c>
    </row>
    <row r="25">
      <c r="B25" s="8" t="inlineStr">
        <is>
          <t>ОПЕРАЦИОННЫЙ РЕЗУЛЬТАТ (месяц)</t>
        </is>
      </c>
      <c r="C25" s="4">
        <f>C18-C20-C21-C22-C23-C24</f>
        <v/>
      </c>
      <c r="D25" s="4">
        <f>D18-D20-D21-D22-D23-D24</f>
        <v/>
      </c>
      <c r="E25" s="4">
        <f>E18-E20-E21-E22-E23-E24</f>
        <v/>
      </c>
      <c r="F25" s="4">
        <f>F18-F20-F21-F22-F23-F24</f>
        <v/>
      </c>
      <c r="G25" s="4">
        <f>G18-G20-G21-G22-G23-G24</f>
        <v/>
      </c>
      <c r="H25" s="4">
        <f>H18-H20-H21-H22-H23-H24</f>
        <v/>
      </c>
      <c r="I25" s="4">
        <f>I18-I20-I21-I22-I23-I24</f>
        <v/>
      </c>
      <c r="J25" s="4">
        <f>J18-J20-J21-J22-J23-J24</f>
        <v/>
      </c>
      <c r="K25" s="4">
        <f>K18-K20-K21-K22-K23-K24</f>
        <v/>
      </c>
      <c r="L25" s="4">
        <f>L18-L20-L21-L22-L23-L24</f>
        <v/>
      </c>
      <c r="M25" s="4">
        <f>M18-M20-M21-M22-M23-M24</f>
        <v/>
      </c>
      <c r="N25" s="4">
        <f>N18-N20-N21-N22-N23-N24</f>
        <v/>
      </c>
      <c r="O25" s="4">
        <f>O18-O20-O21-O22-O23-O24</f>
        <v/>
      </c>
      <c r="P25" s="4">
        <f>P18-P20-P21-P22-P23-P24</f>
        <v/>
      </c>
      <c r="Q25" s="4">
        <f>Q18-Q20-Q21-Q22-Q23-Q24</f>
        <v/>
      </c>
      <c r="R25" s="4">
        <f>R18-R20-R21-R22-R23-R24</f>
        <v/>
      </c>
      <c r="S25" s="4">
        <f>S18-S20-S21-S22-S23-S24</f>
        <v/>
      </c>
      <c r="T25" s="22">
        <f>SUM(C25:G25)</f>
        <v/>
      </c>
      <c r="U25" s="22">
        <f>SUM(H25:S25)</f>
        <v/>
      </c>
    </row>
    <row r="27">
      <c r="B27" s="25" t="inlineStr">
        <is>
          <t>Достройка до открытия (капекс, август)</t>
        </is>
      </c>
      <c r="C27" s="27">
        <f>Допущения!$D$31</f>
        <v/>
      </c>
      <c r="D27" s="27">
        <f>0</f>
        <v/>
      </c>
      <c r="E27" s="27">
        <f>0</f>
        <v/>
      </c>
      <c r="F27" s="27">
        <f>0</f>
        <v/>
      </c>
      <c r="G27" s="27">
        <f>0</f>
        <v/>
      </c>
      <c r="H27" s="27">
        <f>0</f>
        <v/>
      </c>
      <c r="I27" s="27">
        <f>0</f>
        <v/>
      </c>
      <c r="J27" s="27">
        <f>0</f>
        <v/>
      </c>
      <c r="K27" s="27">
        <f>0</f>
        <v/>
      </c>
      <c r="L27" s="27">
        <f>0</f>
        <v/>
      </c>
      <c r="M27" s="27">
        <f>0</f>
        <v/>
      </c>
      <c r="N27" s="27">
        <f>0</f>
        <v/>
      </c>
      <c r="O27" s="27">
        <f>0</f>
        <v/>
      </c>
      <c r="P27" s="27">
        <f>0</f>
        <v/>
      </c>
      <c r="Q27" s="27">
        <f>0</f>
        <v/>
      </c>
      <c r="R27" s="27">
        <f>0</f>
        <v/>
      </c>
      <c r="S27" s="27">
        <f>0</f>
        <v/>
      </c>
      <c r="T27" s="22">
        <f>SUM(C27:G27)</f>
        <v/>
      </c>
      <c r="U27" s="22">
        <f>SUM(H27:S27)</f>
        <v/>
      </c>
    </row>
    <row r="28">
      <c r="B28" s="8" t="inlineStr">
        <is>
          <t>КАССА на конец месяца</t>
        </is>
      </c>
      <c r="C28" s="4">
        <f>Допущения!$D$37+C25-C27</f>
        <v/>
      </c>
      <c r="D28" s="4">
        <f>C28+D25-D27</f>
        <v/>
      </c>
      <c r="E28" s="4">
        <f>D28+E25-E27</f>
        <v/>
      </c>
      <c r="F28" s="4">
        <f>E28+F25-F27</f>
        <v/>
      </c>
      <c r="G28" s="4">
        <f>F28+G25-G27</f>
        <v/>
      </c>
      <c r="H28" s="4">
        <f>G28+H25-H27</f>
        <v/>
      </c>
      <c r="I28" s="4">
        <f>H28+I25-I27</f>
        <v/>
      </c>
      <c r="J28" s="4">
        <f>I28+J25-J27</f>
        <v/>
      </c>
      <c r="K28" s="4">
        <f>J28+K25-K27</f>
        <v/>
      </c>
      <c r="L28" s="4">
        <f>K28+L25-L27</f>
        <v/>
      </c>
      <c r="M28" s="4">
        <f>L28+M25-M27</f>
        <v/>
      </c>
      <c r="N28" s="4">
        <f>M28+N25-N27</f>
        <v/>
      </c>
      <c r="O28" s="4">
        <f>N28+O25-O27</f>
        <v/>
      </c>
      <c r="P28" s="4">
        <f>O28+P25-P27</f>
        <v/>
      </c>
      <c r="Q28" s="4">
        <f>P28+Q25-Q27</f>
        <v/>
      </c>
      <c r="R28" s="4">
        <f>Q28+R25-R27</f>
        <v/>
      </c>
      <c r="S28" s="4">
        <f>R28+S25-S27</f>
        <v/>
      </c>
    </row>
  </sheetData>
  <conditionalFormatting sqref="C28:S28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8" t="inlineStr">
        <is>
          <t>КАК ПОЛЬЗОВАТЬСЯ</t>
        </is>
      </c>
    </row>
    <row r="3">
      <c r="B3" t="inlineStr">
        <is>
          <t>1. Лист «Допущения», ячейка D2: переключи сценарий 1/2/3 — вся модель пересчитается.</t>
        </is>
      </c>
    </row>
    <row r="4">
      <c r="B4" t="inlineStr">
        <is>
          <t>2. Синие ячейки — можно править. Жёлтые строки — заглушки, ждём реальные данные.</t>
        </is>
      </c>
    </row>
    <row r="5">
      <c r="B5" t="inlineStr">
        <is>
          <t>3. Лист «Воронка»: главные строки — ДЕЙСТВУЮЩИХ клиентов, ИТОГО выручка, ОПЕРАЦИОННЫЙ РЕЗУЛЬТАТ.</t>
        </is>
      </c>
    </row>
    <row r="6">
      <c r="B6" t="inlineStr"/>
    </row>
    <row r="7">
      <c r="B7" s="8" t="inlineStr">
        <is>
          <t>ЧТО ЭТО ЗА ЭТАП</t>
        </is>
      </c>
    </row>
    <row r="8">
      <c r="B8" t="inlineStr">
        <is>
          <t>Это ГОТОВАЯ рабочая версия (этапы 1–4): сводка + воронка + деньги. ФОТ разнесён (фикс-ядро 350к + преподаватели по загрузке),</t>
        </is>
      </c>
    </row>
    <row r="9">
      <c r="B9" t="inlineStr">
        <is>
          <t>заведены деньги собственницы (план 3 млн, потрачено 1 551 733) и строка «КАССА на конец месяца» —</t>
        </is>
      </c>
    </row>
    <row r="10">
      <c r="B10" t="inlineStr">
        <is>
          <t>красная заливка = деньги кончились. Налоги — ровно как в исходнике (2027 пустой — там налогов не было!).</t>
        </is>
      </c>
    </row>
    <row r="11">
      <c r="B11" t="inlineStr">
        <is>
          <t>Этап 4: сводка сценариев — сколько всего нужно денег, когда ноль, когда окупаемость.</t>
        </is>
      </c>
    </row>
    <row r="12">
      <c r="B12" t="inlineStr"/>
    </row>
    <row r="13">
      <c r="B13" s="8" t="inlineStr">
        <is>
          <t>ЧЕГО НЕ ХВАТАЕТ (жёлтые места)</t>
        </is>
      </c>
    </row>
    <row r="14">
      <c r="B14" t="inlineStr">
        <is>
          <t>Подтверждено (июль-2026): открытие 1–5 августа; достройка ≈1,7 млн; тренеры 500 ₽/группа + 100 ₽/ребёнок.</t>
        </is>
      </c>
    </row>
    <row r="15">
      <c r="B15" t="inlineStr">
        <is>
          <t>— Органика: сколько лидов/мес сейчас без рекламы (сарафан/карты/сайт)</t>
        </is>
      </c>
    </row>
    <row r="16">
      <c r="B16" t="inlineStr">
        <is>
          <t>— Старт: с нуля или с переносом базы действующего центра</t>
        </is>
      </c>
    </row>
    <row r="17">
      <c r="B17" t="inlineStr">
        <is>
          <t>— Таргетолог: максимум лидов/мес и на каком бюджете; администратор: продления 82–94% — правда или формат оплаты</t>
        </is>
      </c>
    </row>
    <row r="18">
      <c r="B18" t="inlineStr">
        <is>
          <t>— «Нежданчик» — вводные для прогноза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2026-07-03T17:34:06Z</dcterms:created>
  <dcterms:modified xsi:type="dcterms:W3CDTF">2026-07-03T17:34:06Z</dcterms:modified>
</cp:coreProperties>
</file>